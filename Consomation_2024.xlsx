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G:\Drive partagés\zz_Base_Bayonne\En cours\2 Distances et conso 2024\"/>
    </mc:Choice>
  </mc:AlternateContent>
  <xr:revisionPtr revIDLastSave="0" documentId="13_ncr:1_{02E8E26A-B001-4EBC-AB03-3E1DF12C1C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6" i="1" l="1"/>
  <c r="B23" i="1" s="1"/>
  <c r="C16" i="1"/>
  <c r="C23" i="1" s="1"/>
  <c r="D16" i="1"/>
  <c r="D23" i="1" s="1"/>
</calcChain>
</file>

<file path=xl/sharedStrings.xml><?xml version="1.0" encoding="utf-8"?>
<sst xmlns="http://schemas.openxmlformats.org/spreadsheetml/2006/main" count="20" uniqueCount="20">
  <si>
    <t>Janvier</t>
  </si>
  <si>
    <t>Février</t>
  </si>
  <si>
    <t>JIF SURVEYOR</t>
  </si>
  <si>
    <t>JIF GYPTIS</t>
  </si>
  <si>
    <t>JIF LACYDON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</si>
  <si>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</si>
  <si>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</si>
  <si>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</si>
  <si>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</si>
  <si>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</si>
  <si>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</si>
  <si>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</si>
  <si>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</si>
  <si>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</si>
  <si>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</si>
  <si>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</si>
  <si>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202.15</t>
  </si>
  <si>
    <t>Distances parcourues en Milles Nautiques</t>
  </si>
  <si>
    <t>Consommation annuelle en m3</t>
  </si>
  <si>
    <t>Consommation en litre / mille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</si>
</sst>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D20" sqref="D20"/>
    </sheetView>
  </sheetViews>
  <sheetFormatPr baseColWidth="10" defaultColWidth="8.88671875" defaultRowHeight="14.4" x14ac:dyDescent="0.3"/>
  <cols>
    <col min="1" max="1" width="11.21875" customWidth="1"/>
    <col min="2" max="2" width="13" customWidth="1"/>
    <col min="3" max="3" width="10.33203125" customWidth="1"/>
    <col min="4" max="4" width="12" customWidth="1"/>
  </cols>
  <sheetData>
    <row r="1" spans="1:4" ht="15.6" customHeight="1" x14ac:dyDescent="0.3">
      <c r="A1" s="1" t="s">
        <v>17</v>
      </c>
      <c r="B1" s="1"/>
      <c r="C1" s="1"/>
      <c r="D1" s="1"/>
    </row>
    <row r="2" spans="1:4" x14ac:dyDescent="0.3">
      <c r="A2" s="1">
        <v>2024</v>
      </c>
      <c r="B2" s="1" t="s">
        <v>2</v>
      </c>
      <c r="C2" s="1" t="s">
        <v>3</v>
      </c>
      <c r="D2" s="1" t="s">
        <v>4</v>
      </c>
    </row>
    <row r="3" spans="1:4" x14ac:dyDescent="0.3">
      <c r="A3" s="1" t="s">
        <v>0</v>
      </c>
      <c r="B3" s="2">
        <v>151.81</v>
      </c>
      <c r="C3" s="2">
        <v>157.82</v>
      </c>
      <c r="D3" s="2">
        <v>183.49</v>
      </c>
    </row>
    <row r="4" spans="1:4" x14ac:dyDescent="0.3">
      <c r="A4" s="1" t="s">
        <v>1</v>
      </c>
      <c r="B4" s="2">
        <v>688.8</v>
      </c>
      <c r="C4" s="2">
        <v>625.01</v>
      </c>
      <c r="D4" s="2">
        <v>611.76</v>
      </c>
    </row>
    <row r="5" spans="1:4" x14ac:dyDescent="0.3">
      <c r="A5" s="1" t="s">
        <v>5</v>
      </c>
      <c r="B5" s="2">
        <v>396.89</v>
      </c>
      <c r="C5" s="2">
        <v>196.62</v>
      </c>
      <c r="D5" s="2">
        <v>161.99</v>
      </c>
    </row>
    <row r="6" spans="1:4" x14ac:dyDescent="0.3">
      <c r="A6" s="1" t="s">
        <v>6</v>
      </c>
      <c r="B6" s="2">
        <v>324.33999999999997</v>
      </c>
      <c r="C6" s="2">
        <v>723.67</v>
      </c>
      <c r="D6" s="2">
        <v>273.27999999999997</v>
      </c>
    </row>
    <row r="7" spans="1:4" x14ac:dyDescent="0.3">
      <c r="A7" s="1" t="s">
        <v>7</v>
      </c>
      <c r="B7" s="2">
        <v>691.69</v>
      </c>
      <c r="C7" s="2">
        <v>92.35</v>
      </c>
      <c r="D7" s="2">
        <v>931.6</v>
      </c>
    </row>
    <row r="8" spans="1:4" x14ac:dyDescent="0.3">
      <c r="A8" s="1" t="s">
        <v>8</v>
      </c>
      <c r="B8" s="2">
        <v>267.27999999999997</v>
      </c>
      <c r="C8" s="2">
        <v>112.16</v>
      </c>
      <c r="D8" s="2">
        <v>1.9</v>
      </c>
    </row>
    <row r="9" spans="1:4" x14ac:dyDescent="0.3">
      <c r="A9" s="1" t="s">
        <v>9</v>
      </c>
      <c r="B9" s="2">
        <v>713.19</v>
      </c>
      <c r="C9" s="2">
        <v>1144.96</v>
      </c>
      <c r="D9" s="2">
        <v>1177.07</v>
      </c>
    </row>
    <row r="10" spans="1:4" x14ac:dyDescent="0.3">
      <c r="A10" s="1" t="s">
        <v>10</v>
      </c>
      <c r="B10" s="2">
        <v>33.729999999999997</v>
      </c>
      <c r="C10" s="2">
        <v>207.01</v>
      </c>
      <c r="D10" s="2">
        <v>1531.02</v>
      </c>
    </row>
    <row r="11" spans="1:4" x14ac:dyDescent="0.3">
      <c r="A11" s="1" t="s">
        <v>11</v>
      </c>
      <c r="B11" s="2">
        <v>513.36</v>
      </c>
      <c r="C11" s="2">
        <v>589.5</v>
      </c>
      <c r="D11" s="2">
        <v>943.32</v>
      </c>
    </row>
    <row r="12" spans="1:4" x14ac:dyDescent="0.3">
      <c r="A12" s="1" t="s">
        <v>12</v>
      </c>
      <c r="B12" s="2">
        <v>773.73</v>
      </c>
      <c r="C12" s="2">
        <v>954.99</v>
      </c>
      <c r="D12" s="2">
        <v>1093.97</v>
      </c>
    </row>
    <row r="13" spans="1:4" x14ac:dyDescent="0.3">
      <c r="A13" s="1" t="s">
        <v>13</v>
      </c>
      <c r="B13" s="2">
        <v>520.44000000000005</v>
      </c>
      <c r="C13" s="2">
        <v>788.09</v>
      </c>
      <c r="D13" s="2">
        <v>660.38</v>
      </c>
    </row>
    <row r="14" spans="1:4" x14ac:dyDescent="0.3">
      <c r="A14" s="1" t="s">
        <v>14</v>
      </c>
      <c r="B14" s="2">
        <v>200.68</v>
      </c>
      <c r="C14" s="2">
        <v>181.06</v>
      </c>
      <c r="D14" s="2" t="s">
        <v>16</v>
      </c>
    </row>
    <row r="15" spans="1:4" x14ac:dyDescent="0.3">
      <c r="A15" s="1"/>
      <c r="B15" s="1"/>
      <c r="C15" s="1"/>
      <c r="D15" s="1"/>
    </row>
    <row r="16" spans="1:4" x14ac:dyDescent="0.3">
      <c r="A16" s="1" t="s">
        <v>15</v>
      </c>
      <c r="B16" s="3">
        <f>SUM(B3:B14)</f>
        <v>5275.9400000000005</v>
      </c>
      <c r="C16" s="3">
        <f t="shared" ref="C16:D16" si="0">SUM(C3:C14)</f>
        <v>5773.2400000000007</v>
      </c>
      <c r="D16" s="3">
        <f t="shared" si="0"/>
        <v>7569.7800000000007</v>
      </c>
    </row>
    <row r="17" spans="1:4" x14ac:dyDescent="0.3">
      <c r="A17" s="1"/>
      <c r="B17" s="1"/>
      <c r="C17" s="1"/>
      <c r="D17" s="1"/>
    </row>
    <row r="18" spans="1:4" x14ac:dyDescent="0.3">
      <c r="A18" s="1" t="s">
        <v>18</v>
      </c>
      <c r="B18" s="1"/>
      <c r="C18" s="1"/>
      <c r="D18" s="1"/>
    </row>
    <row r="19" spans="1:4" x14ac:dyDescent="0.3">
      <c r="A19" s="1"/>
      <c r="B19" s="1">
        <f>8.5+12.23+15+8.8+11.8+11.4+14.6-21.55+11.4</f>
        <v>72.180000000000007</v>
      </c>
      <c r="C19" s="1">
        <v>79.191999999999993</v>
      </c>
      <c r="D19" s="1">
        <v>105.785</v>
      </c>
    </row>
    <row r="20" spans="1:4" x14ac:dyDescent="0.3">
      <c r="A20" s="1"/>
      <c r="B20" s="1"/>
      <c r="C20" s="1"/>
      <c r="D20" s="1"/>
    </row>
    <row r="21" spans="1:4" x14ac:dyDescent="0.3">
      <c r="A21" s="1" t="s">
        <v>19</v>
      </c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>
        <f>(B19/B16)*1000</f>
        <v>13.680974385607115</v>
      </c>
      <c r="C23" s="1">
        <f>(C19/C16)*1000</f>
        <v>13.717080876596155</v>
      </c>
      <c r="D23" s="1">
        <f>(D19/D16)*1000</f>
        <v>13.974646555117848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Autin</dc:creator>
  <cp:lastModifiedBy>Henri Autin</cp:lastModifiedBy>
  <cp:lastPrinted>2025-01-28T19:40:17Z</cp:lastPrinted>
  <dcterms:created xsi:type="dcterms:W3CDTF">2015-06-05T18:19:34Z</dcterms:created>
  <dcterms:modified xsi:type="dcterms:W3CDTF">2025-02-05T19:28:42Z</dcterms:modified>
</cp:coreProperties>
</file>